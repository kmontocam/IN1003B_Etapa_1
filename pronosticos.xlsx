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/>
  <mc:AlternateContent xmlns:mc="http://schemas.openxmlformats.org/markup-compatibility/2006">
    <mc:Choice Requires="x15">
      <x15ac:absPath xmlns:x15ac="http://schemas.microsoft.com/office/spreadsheetml/2010/11/ac" url="https://tecmx-my.sharepoint.com/personal/a01740352_itesm_mx/Documents/3er semestre/Redes logísticas inteligentes/Etapa 1/"/>
    </mc:Choice>
  </mc:AlternateContent>
  <xr:revisionPtr revIDLastSave="3" documentId="13_ncr:40009_{7E8E99CC-A641-B44F-998C-0664DC6248BB}" xr6:coauthVersionLast="47" xr6:coauthVersionMax="47" xr10:uidLastSave="{F6B7F928-483F-184B-BF22-4D851503CB8C}"/>
  <bookViews>
    <workbookView xWindow="380" yWindow="500" windowWidth="28040" windowHeight="15820" xr2:uid="{00000000-000D-0000-FFFF-FFFF00000000}"/>
  </bookViews>
  <sheets>
    <sheet name="Pronóstico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8" i="2" l="1"/>
  <c r="E17" i="2"/>
  <c r="D18" i="2"/>
  <c r="D17" i="2"/>
  <c r="C18" i="2"/>
  <c r="C17" i="2"/>
</calcChain>
</file>

<file path=xl/sharedStrings.xml><?xml version="1.0" encoding="utf-8"?>
<sst xmlns="http://schemas.openxmlformats.org/spreadsheetml/2006/main" count="8" uniqueCount="4">
  <si>
    <t>Mes</t>
  </si>
  <si>
    <t>Pronóstico</t>
  </si>
  <si>
    <t>Límite de confianza inferior</t>
  </si>
  <si>
    <t>Límite de confianza superior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</si>
</sst>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u val="singleAccounting"/>
      <sz val="12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Border="1"/>
    <xf numFmtId="43" fontId="0" fillId="33" borderId="0" xfId="1" applyFont="1" applyFill="1" applyBorder="1" applyAlignment="1">
      <alignment vertical="center"/>
    </xf>
    <xf numFmtId="0" fontId="17" fillId="35" borderId="0" xfId="0" applyFont="1" applyFill="1" applyBorder="1" applyAlignment="1">
      <alignment horizontal="center" vertical="center"/>
    </xf>
    <xf numFmtId="14" fontId="0" fillId="34" borderId="0" xfId="0" applyNumberFormat="1" applyFont="1" applyFill="1" applyBorder="1" applyAlignment="1">
      <alignment vertical="center"/>
    </xf>
    <xf numFmtId="43" fontId="0" fillId="34" borderId="0" xfId="1" applyFont="1" applyFill="1" applyBorder="1" applyAlignment="1">
      <alignment vertical="center"/>
    </xf>
    <xf numFmtId="43" fontId="1" fillId="33" borderId="0" xfId="1" applyFont="1" applyFill="1" applyBorder="1" applyAlignment="1">
      <alignment vertical="center"/>
    </xf>
    <xf numFmtId="14" fontId="0" fillId="34" borderId="0" xfId="0" applyNumberFormat="1" applyFill="1" applyBorder="1" applyAlignment="1">
      <alignment vertical="center"/>
    </xf>
    <xf numFmtId="43" fontId="18" fillId="34" borderId="0" xfId="1" applyFont="1" applyFill="1" applyBorder="1" applyAlignment="1">
      <alignment vertic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Green Yellow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18"/>
  <sheetViews>
    <sheetView tabSelected="1" zoomScale="150" zoomScaleNormal="150" workbookViewId="0">
      <selection activeCell="E9" sqref="E9"/>
    </sheetView>
  </sheetViews>
  <sheetFormatPr baseColWidth="10" defaultRowHeight="16" x14ac:dyDescent="0.2"/>
  <cols>
    <col min="3" max="3" width="13" customWidth="1"/>
    <col min="4" max="4" width="23.33203125" customWidth="1"/>
    <col min="5" max="5" width="24.1640625" customWidth="1"/>
  </cols>
  <sheetData>
    <row r="2" spans="1:6" x14ac:dyDescent="0.2">
      <c r="B2" s="3" t="s">
        <v>0</v>
      </c>
      <c r="C2" s="3" t="s">
        <v>1</v>
      </c>
      <c r="D2" s="3" t="s">
        <v>2</v>
      </c>
      <c r="E2" s="3" t="s">
        <v>3</v>
      </c>
      <c r="F2" s="1"/>
    </row>
    <row r="3" spans="1:6" x14ac:dyDescent="0.2">
      <c r="B3" s="4">
        <v>44562</v>
      </c>
      <c r="C3" s="5">
        <v>116931.4335</v>
      </c>
      <c r="D3" s="6">
        <v>99176.19</v>
      </c>
      <c r="E3" s="6">
        <v>134686.68</v>
      </c>
      <c r="F3" s="1"/>
    </row>
    <row r="4" spans="1:6" x14ac:dyDescent="0.2">
      <c r="B4" s="4">
        <v>44593</v>
      </c>
      <c r="C4" s="5">
        <v>98142.989300000001</v>
      </c>
      <c r="D4" s="6">
        <v>79967.179999999993</v>
      </c>
      <c r="E4" s="6">
        <v>116318.8</v>
      </c>
    </row>
    <row r="5" spans="1:6" x14ac:dyDescent="0.2">
      <c r="B5" s="7">
        <v>44621</v>
      </c>
      <c r="C5" s="5">
        <v>107941.56879999999</v>
      </c>
      <c r="D5" s="2">
        <v>89351.55</v>
      </c>
      <c r="E5" s="2">
        <v>126531.58</v>
      </c>
    </row>
    <row r="6" spans="1:6" x14ac:dyDescent="0.2">
      <c r="B6" s="7">
        <v>44652</v>
      </c>
      <c r="C6" s="5">
        <v>99891.920910000001</v>
      </c>
      <c r="D6" s="2">
        <v>80893.63</v>
      </c>
      <c r="E6" s="2">
        <v>118890.22</v>
      </c>
    </row>
    <row r="7" spans="1:6" x14ac:dyDescent="0.2">
      <c r="B7" s="7">
        <v>44682</v>
      </c>
      <c r="C7" s="5">
        <v>89049.014899999995</v>
      </c>
      <c r="D7" s="2">
        <v>69647.98</v>
      </c>
      <c r="E7" s="2">
        <v>108450.05</v>
      </c>
    </row>
    <row r="8" spans="1:6" x14ac:dyDescent="0.2">
      <c r="B8" s="7">
        <v>44713</v>
      </c>
      <c r="C8" s="5">
        <v>85297.736189999996</v>
      </c>
      <c r="D8" s="2">
        <v>65499.16</v>
      </c>
      <c r="E8" s="2">
        <v>105096.31</v>
      </c>
    </row>
    <row r="9" spans="1:6" x14ac:dyDescent="0.2">
      <c r="B9" s="7">
        <v>44743</v>
      </c>
      <c r="C9" s="5">
        <v>90104.96054</v>
      </c>
      <c r="D9" s="2">
        <v>69910.75</v>
      </c>
      <c r="E9" s="2">
        <v>110299.17</v>
      </c>
      <c r="F9" s="1"/>
    </row>
    <row r="10" spans="1:6" x14ac:dyDescent="0.2">
      <c r="B10" s="7">
        <v>44774</v>
      </c>
      <c r="C10" s="5">
        <v>90086.240130000006</v>
      </c>
      <c r="D10" s="2">
        <v>69504.009999999995</v>
      </c>
      <c r="E10" s="2">
        <v>110668.47</v>
      </c>
      <c r="F10" s="1"/>
    </row>
    <row r="11" spans="1:6" x14ac:dyDescent="0.2">
      <c r="B11" s="7">
        <v>44805</v>
      </c>
      <c r="C11" s="5">
        <v>93849.124519999998</v>
      </c>
      <c r="D11" s="2">
        <v>72883.179999999993</v>
      </c>
      <c r="E11" s="2">
        <v>114815.07</v>
      </c>
      <c r="F11" s="1"/>
    </row>
    <row r="12" spans="1:6" x14ac:dyDescent="0.2">
      <c r="A12" s="1"/>
      <c r="B12" s="7">
        <v>44835</v>
      </c>
      <c r="C12" s="5">
        <v>102120.3633</v>
      </c>
      <c r="D12" s="2">
        <v>80774.78</v>
      </c>
      <c r="E12" s="2">
        <v>123465.94</v>
      </c>
    </row>
    <row r="13" spans="1:6" x14ac:dyDescent="0.2">
      <c r="A13" s="1"/>
      <c r="B13" s="7">
        <v>44866</v>
      </c>
      <c r="C13" s="5">
        <v>94976.645269999994</v>
      </c>
      <c r="D13" s="2">
        <v>73255.28</v>
      </c>
      <c r="E13" s="2">
        <v>116698.01</v>
      </c>
      <c r="F13" s="1"/>
    </row>
    <row r="14" spans="1:6" x14ac:dyDescent="0.2">
      <c r="A14" s="1"/>
      <c r="B14" s="7">
        <v>44896</v>
      </c>
      <c r="C14" s="5">
        <v>104884.6053</v>
      </c>
      <c r="D14" s="2">
        <v>82791.09</v>
      </c>
      <c r="E14" s="2">
        <v>126978.12</v>
      </c>
    </row>
    <row r="16" spans="1:6" x14ac:dyDescent="0.2">
      <c r="B16" s="3" t="s">
        <v>0</v>
      </c>
      <c r="C16" s="3" t="s">
        <v>1</v>
      </c>
      <c r="D16" s="3" t="s">
        <v>2</v>
      </c>
      <c r="E16" s="3" t="s">
        <v>3</v>
      </c>
    </row>
    <row r="17" spans="2:5" ht="19" x14ac:dyDescent="0.2">
      <c r="B17" s="4">
        <v>44562</v>
      </c>
      <c r="C17" s="8">
        <f>116931.4335/10</f>
        <v>11693.14335</v>
      </c>
      <c r="D17" s="6">
        <f>99176.19/10</f>
        <v>9917.6190000000006</v>
      </c>
      <c r="E17" s="6">
        <f>134686.68/10</f>
        <v>13468.668</v>
      </c>
    </row>
    <row r="18" spans="2:5" ht="19" x14ac:dyDescent="0.2">
      <c r="B18" s="4">
        <v>44593</v>
      </c>
      <c r="C18" s="8">
        <f>98142.9893/10</f>
        <v>9814.2989300000008</v>
      </c>
      <c r="D18" s="6">
        <f>79967.18/10</f>
        <v>7996.7179999999989</v>
      </c>
      <c r="E18" s="6">
        <f>116318.8/10</f>
        <v>11631.880000000001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Pronósticos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MONTOYA CAMPAÑA</dc:creator>
  <cp:lastModifiedBy>Kevin Montoya Campaña</cp:lastModifiedBy>
  <dcterms:created xsi:type="dcterms:W3CDTF">2021-08-23T20:57:02Z</dcterms:created>
  <dcterms:modified xsi:type="dcterms:W3CDTF">2021-08-24T01:37:23Z</dcterms:modified>
</cp:coreProperties>
</file>